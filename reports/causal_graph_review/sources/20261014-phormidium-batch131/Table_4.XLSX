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m\OneDrive\PhD 2017\papers\Bioreactor_Genome_paper\Second_Metagenomics\Writing_Paper\Files for Alyse\Paper_number2\Submission to Synthetic Microbial Ecology\"/>
    </mc:Choice>
  </mc:AlternateContent>
  <xr:revisionPtr revIDLastSave="0" documentId="13_ncr:1_{E788AF90-7A77-4241-87D1-2C8FACE9CBA9}" xr6:coauthVersionLast="45" xr6:coauthVersionMax="45" xr10:uidLastSave="{00000000-0000-0000-0000-000000000000}"/>
  <bookViews>
    <workbookView xWindow="-108" yWindow="-108" windowWidth="23256" windowHeight="12600" tabRatio="500" xr2:uid="{00000000-000D-0000-FFFF-FFFF00000000}"/>
  </bookViews>
  <sheets>
    <sheet name="Calisp statistic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1" l="1"/>
  <c r="C50" i="1" l="1"/>
  <c r="C49" i="1"/>
  <c r="C51" i="1" s="1"/>
  <c r="C52" i="1" l="1"/>
</calcChain>
</file>

<file path=xl/sharedStrings.xml><?xml version="1.0" encoding="utf-8"?>
<sst xmlns="http://schemas.openxmlformats.org/spreadsheetml/2006/main" count="137" uniqueCount="34">
  <si>
    <t>MAG(s)</t>
  </si>
  <si>
    <t>Taxonomic Assignment</t>
  </si>
  <si>
    <t>Label</t>
  </si>
  <si>
    <t>Time</t>
  </si>
  <si>
    <t xml:space="preserve">Number of Peptides </t>
  </si>
  <si>
    <t>Minimum Ratio</t>
  </si>
  <si>
    <t>Weighted Varriance</t>
  </si>
  <si>
    <t>Weighted Lower 25th Quantile</t>
  </si>
  <si>
    <t>Weighted Mean</t>
  </si>
  <si>
    <t>Weighted Upper 75th Quantile</t>
  </si>
  <si>
    <t>00</t>
  </si>
  <si>
    <t>Cyanobacteria</t>
  </si>
  <si>
    <t>Blank</t>
  </si>
  <si>
    <t>BiCarb</t>
  </si>
  <si>
    <t>56, 7A</t>
  </si>
  <si>
    <t>Lentisphaerae_Victivallis</t>
  </si>
  <si>
    <t>Planctomycetes_Isosphaera</t>
  </si>
  <si>
    <t>Proteobacteria_Aquisalimonadaceae</t>
  </si>
  <si>
    <t>Proteobacteria_Rhodobacter</t>
  </si>
  <si>
    <t>Proteobacteria_Rudaea</t>
  </si>
  <si>
    <t>5A, 23</t>
  </si>
  <si>
    <t>Proteobacteria_Saccharospirillum</t>
  </si>
  <si>
    <t>17, 41</t>
  </si>
  <si>
    <t>Verrucomicrobia_Verrucomicrobiales</t>
  </si>
  <si>
    <t>all bins &gt; 00</t>
  </si>
  <si>
    <t>Heterotrophs</t>
  </si>
  <si>
    <t>Observed daytime heterotrophic carbon uptake rate</t>
  </si>
  <si>
    <t>(delta13C/12C/h)</t>
  </si>
  <si>
    <t>Observed nighttime heterotrophic carbon uptake rate</t>
  </si>
  <si>
    <t>Assumed contribution of daytime processes</t>
  </si>
  <si>
    <t>Nighttime (fermentation) rate</t>
  </si>
  <si>
    <t>Contribution of fermentation products to total heterotrophy</t>
  </si>
  <si>
    <t>(%)</t>
  </si>
  <si>
    <t xml:space="preserve">Table S4 Peptide counts of incorporation of 13C-bicarbonate by different populations over time from Ca. P. alkaliphilum consortium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</si>
</sst>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000"/>
  </numFmts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zoomScaleNormal="100" workbookViewId="0">
      <pane xSplit="4" ySplit="2" topLeftCell="G39" activePane="bottomRight" state="frozen"/>
      <selection pane="topRight" activeCell="E1" sqref="E1"/>
      <selection pane="bottomLeft" activeCell="A2" sqref="A2"/>
      <selection pane="bottomRight" activeCell="N21" sqref="N21"/>
    </sheetView>
  </sheetViews>
  <sheetFormatPr defaultColWidth="11.19921875" defaultRowHeight="15.6" x14ac:dyDescent="0.3"/>
  <cols>
    <col min="1" max="1" width="16.5" style="1" customWidth="1"/>
    <col min="2" max="2" width="47.69921875" customWidth="1"/>
    <col min="5" max="5" width="12.19921875" customWidth="1"/>
  </cols>
  <sheetData>
    <row r="1" spans="1:12" x14ac:dyDescent="0.3">
      <c r="B1" s="6" t="s">
        <v>33</v>
      </c>
    </row>
    <row r="2" spans="1:12" ht="51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5</v>
      </c>
    </row>
    <row r="3" spans="1:12" x14ac:dyDescent="0.3">
      <c r="A3" s="1" t="s">
        <v>10</v>
      </c>
      <c r="B3" t="s">
        <v>11</v>
      </c>
      <c r="C3" t="s">
        <v>12</v>
      </c>
      <c r="D3">
        <v>0</v>
      </c>
      <c r="E3">
        <v>4017</v>
      </c>
      <c r="F3">
        <v>3.48E-3</v>
      </c>
      <c r="G3" s="3">
        <v>3.2582214875699303E-7</v>
      </c>
      <c r="H3">
        <v>9.92E-3</v>
      </c>
      <c r="I3">
        <v>1.027E-2</v>
      </c>
      <c r="J3">
        <v>1.043E-2</v>
      </c>
      <c r="K3">
        <v>0.02</v>
      </c>
    </row>
    <row r="4" spans="1:12" x14ac:dyDescent="0.3">
      <c r="A4" s="1" t="s">
        <v>10</v>
      </c>
      <c r="B4" t="s">
        <v>11</v>
      </c>
      <c r="C4" t="s">
        <v>13</v>
      </c>
      <c r="D4">
        <v>14</v>
      </c>
      <c r="E4">
        <v>5229</v>
      </c>
      <c r="F4">
        <v>3.0500000000000002E-3</v>
      </c>
      <c r="G4" s="3">
        <v>1.9461223661830099E-6</v>
      </c>
      <c r="H4">
        <v>1.0319999999999999E-2</v>
      </c>
      <c r="I4">
        <v>1.055E-2</v>
      </c>
      <c r="J4">
        <v>1.0959999999999999E-2</v>
      </c>
      <c r="K4">
        <v>1.9959999999999999E-2</v>
      </c>
    </row>
    <row r="5" spans="1:12" x14ac:dyDescent="0.3">
      <c r="A5" s="1" t="s">
        <v>10</v>
      </c>
      <c r="B5" t="s">
        <v>11</v>
      </c>
      <c r="C5" t="s">
        <v>13</v>
      </c>
      <c r="D5">
        <v>22</v>
      </c>
      <c r="E5">
        <v>5653</v>
      </c>
      <c r="F5">
        <v>3.3999999999999998E-3</v>
      </c>
      <c r="G5" s="3">
        <v>2.46542432852769E-6</v>
      </c>
      <c r="H5">
        <v>1.0540000000000001E-2</v>
      </c>
      <c r="I5">
        <v>1.0840000000000001E-2</v>
      </c>
      <c r="J5">
        <v>1.1270000000000001E-2</v>
      </c>
      <c r="K5">
        <v>1.9990000000000001E-2</v>
      </c>
    </row>
    <row r="6" spans="1:12" x14ac:dyDescent="0.3">
      <c r="A6" s="1" t="s">
        <v>10</v>
      </c>
      <c r="B6" t="s">
        <v>11</v>
      </c>
      <c r="C6" t="s">
        <v>13</v>
      </c>
      <c r="D6">
        <v>38</v>
      </c>
      <c r="E6">
        <v>6575</v>
      </c>
      <c r="F6">
        <v>3.0699999999999998E-3</v>
      </c>
      <c r="G6" s="3">
        <v>2.9354085677371598E-6</v>
      </c>
      <c r="H6">
        <v>1.323E-2</v>
      </c>
      <c r="I6">
        <v>1.3860000000000001E-2</v>
      </c>
      <c r="J6">
        <v>1.4630000000000001E-2</v>
      </c>
      <c r="K6">
        <v>0.02</v>
      </c>
      <c r="L6" s="5"/>
    </row>
    <row r="7" spans="1:12" x14ac:dyDescent="0.3">
      <c r="A7" s="1" t="s">
        <v>10</v>
      </c>
      <c r="B7" t="s">
        <v>11</v>
      </c>
      <c r="C7" t="s">
        <v>13</v>
      </c>
      <c r="D7">
        <v>46</v>
      </c>
      <c r="E7">
        <v>5746</v>
      </c>
      <c r="F7">
        <v>4.96E-3</v>
      </c>
      <c r="G7" s="3">
        <v>2.6921962061417902E-6</v>
      </c>
      <c r="H7">
        <v>1.349E-2</v>
      </c>
      <c r="I7">
        <v>1.4030000000000001E-2</v>
      </c>
      <c r="J7">
        <v>1.4829999999999999E-2</v>
      </c>
      <c r="K7">
        <v>0.02</v>
      </c>
    </row>
    <row r="8" spans="1:12" x14ac:dyDescent="0.3">
      <c r="A8" s="1" t="s">
        <v>14</v>
      </c>
      <c r="B8" t="s">
        <v>15</v>
      </c>
      <c r="C8" t="s">
        <v>12</v>
      </c>
      <c r="D8">
        <v>0</v>
      </c>
      <c r="E8">
        <v>16</v>
      </c>
      <c r="F8">
        <v>8.6999999999999994E-3</v>
      </c>
      <c r="G8" s="3">
        <v>2.6421801309146402E-6</v>
      </c>
      <c r="H8">
        <v>1.0160000000000001E-2</v>
      </c>
      <c r="I8">
        <v>1.0160000000000001E-2</v>
      </c>
      <c r="J8">
        <v>1.0699999999999999E-2</v>
      </c>
      <c r="K8">
        <v>1.704E-2</v>
      </c>
    </row>
    <row r="9" spans="1:12" x14ac:dyDescent="0.3">
      <c r="A9" s="1" t="s">
        <v>14</v>
      </c>
      <c r="B9" t="s">
        <v>15</v>
      </c>
      <c r="C9" t="s">
        <v>13</v>
      </c>
      <c r="D9">
        <v>14</v>
      </c>
      <c r="E9">
        <v>8</v>
      </c>
      <c r="F9">
        <v>9.7699999999999992E-3</v>
      </c>
      <c r="G9" s="3">
        <v>3.0192811012594699E-6</v>
      </c>
      <c r="H9">
        <v>1.158E-2</v>
      </c>
      <c r="I9">
        <v>1.498E-2</v>
      </c>
      <c r="J9">
        <v>1.498E-2</v>
      </c>
      <c r="K9">
        <v>1.498E-2</v>
      </c>
    </row>
    <row r="10" spans="1:12" x14ac:dyDescent="0.3">
      <c r="A10" s="1" t="s">
        <v>14</v>
      </c>
      <c r="B10" t="s">
        <v>15</v>
      </c>
      <c r="C10" t="s">
        <v>13</v>
      </c>
      <c r="D10">
        <v>22</v>
      </c>
      <c r="E10">
        <v>9</v>
      </c>
      <c r="F10">
        <v>1.017E-2</v>
      </c>
      <c r="G10" s="3">
        <v>3.1739004309160198E-6</v>
      </c>
      <c r="H10">
        <v>1.511E-2</v>
      </c>
      <c r="I10">
        <v>1.511E-2</v>
      </c>
      <c r="J10">
        <v>1.512E-2</v>
      </c>
      <c r="K10">
        <v>1.6539999999999999E-2</v>
      </c>
    </row>
    <row r="11" spans="1:12" x14ac:dyDescent="0.3">
      <c r="A11" s="1" t="s">
        <v>14</v>
      </c>
      <c r="B11" t="s">
        <v>15</v>
      </c>
      <c r="C11" t="s">
        <v>13</v>
      </c>
      <c r="D11">
        <v>38</v>
      </c>
      <c r="E11">
        <v>3</v>
      </c>
      <c r="F11">
        <v>1.6549999999999999E-2</v>
      </c>
      <c r="G11" s="3">
        <v>2.3383163579189301E-7</v>
      </c>
      <c r="H11">
        <v>1.6549999999999999E-2</v>
      </c>
      <c r="I11">
        <v>1.6549999999999999E-2</v>
      </c>
      <c r="J11">
        <v>1.6549999999999999E-2</v>
      </c>
      <c r="K11">
        <v>1.7780000000000001E-2</v>
      </c>
    </row>
    <row r="12" spans="1:12" x14ac:dyDescent="0.3">
      <c r="A12" s="1" t="s">
        <v>14</v>
      </c>
      <c r="B12" t="s">
        <v>15</v>
      </c>
      <c r="C12" t="s">
        <v>13</v>
      </c>
      <c r="D12">
        <v>46</v>
      </c>
      <c r="E12">
        <v>3</v>
      </c>
      <c r="F12">
        <v>1.5679999999999999E-2</v>
      </c>
      <c r="G12" s="3">
        <v>8.7706921937076094E-8</v>
      </c>
      <c r="H12">
        <v>1.6250000000000001E-2</v>
      </c>
      <c r="I12">
        <v>1.6250000000000001E-2</v>
      </c>
      <c r="J12">
        <v>1.6660000000000001E-2</v>
      </c>
      <c r="K12">
        <v>1.6660000000000001E-2</v>
      </c>
    </row>
    <row r="13" spans="1:12" x14ac:dyDescent="0.3">
      <c r="A13" s="1">
        <v>34</v>
      </c>
      <c r="B13" t="s">
        <v>16</v>
      </c>
      <c r="C13" t="s">
        <v>12</v>
      </c>
      <c r="D13">
        <v>0</v>
      </c>
      <c r="E13">
        <v>349</v>
      </c>
      <c r="F13">
        <v>5.3299999999999997E-3</v>
      </c>
      <c r="G13" s="3">
        <v>8.5435159089074003E-7</v>
      </c>
      <c r="H13">
        <v>9.9299999999999996E-3</v>
      </c>
      <c r="I13">
        <v>1.0070000000000001E-2</v>
      </c>
      <c r="J13">
        <v>1.0319999999999999E-2</v>
      </c>
      <c r="K13">
        <v>1.866E-2</v>
      </c>
    </row>
    <row r="14" spans="1:12" x14ac:dyDescent="0.3">
      <c r="A14" s="1">
        <v>34</v>
      </c>
      <c r="B14" t="s">
        <v>16</v>
      </c>
      <c r="C14" t="s">
        <v>13</v>
      </c>
      <c r="D14">
        <v>14</v>
      </c>
      <c r="E14">
        <v>208</v>
      </c>
      <c r="F14">
        <v>4.1700000000000001E-3</v>
      </c>
      <c r="G14" s="3">
        <v>2.2227989332855898E-6</v>
      </c>
      <c r="H14">
        <v>9.6500000000000006E-3</v>
      </c>
      <c r="I14">
        <v>1.042E-2</v>
      </c>
      <c r="J14">
        <v>1.047E-2</v>
      </c>
      <c r="K14">
        <v>0.02</v>
      </c>
    </row>
    <row r="15" spans="1:12" x14ac:dyDescent="0.3">
      <c r="A15" s="1">
        <v>34</v>
      </c>
      <c r="B15" t="s">
        <v>16</v>
      </c>
      <c r="C15" t="s">
        <v>13</v>
      </c>
      <c r="D15">
        <v>22</v>
      </c>
      <c r="E15">
        <v>180</v>
      </c>
      <c r="F15">
        <v>4.1799999999999997E-3</v>
      </c>
      <c r="G15" s="3">
        <v>1.4325072432703401E-6</v>
      </c>
      <c r="H15">
        <v>1.0059999999999999E-2</v>
      </c>
      <c r="I15">
        <v>1.027E-2</v>
      </c>
      <c r="J15">
        <v>1.051E-2</v>
      </c>
      <c r="K15">
        <v>1.967E-2</v>
      </c>
    </row>
    <row r="16" spans="1:12" x14ac:dyDescent="0.3">
      <c r="A16" s="1">
        <v>34</v>
      </c>
      <c r="B16" t="s">
        <v>16</v>
      </c>
      <c r="C16" t="s">
        <v>13</v>
      </c>
      <c r="D16">
        <v>38</v>
      </c>
      <c r="E16">
        <v>153</v>
      </c>
      <c r="F16">
        <v>4.2700000000000004E-3</v>
      </c>
      <c r="G16" s="3">
        <v>2.7607380248314098E-6</v>
      </c>
      <c r="H16">
        <v>9.2700000000000005E-3</v>
      </c>
      <c r="I16">
        <v>1.11E-2</v>
      </c>
      <c r="J16">
        <v>1.11E-2</v>
      </c>
      <c r="K16">
        <v>1.753E-2</v>
      </c>
    </row>
    <row r="17" spans="1:11" x14ac:dyDescent="0.3">
      <c r="A17" s="1">
        <v>34</v>
      </c>
      <c r="B17" t="s">
        <v>16</v>
      </c>
      <c r="C17" t="s">
        <v>13</v>
      </c>
      <c r="D17">
        <v>46</v>
      </c>
      <c r="E17">
        <v>135</v>
      </c>
      <c r="F17">
        <v>4.1000000000000003E-3</v>
      </c>
      <c r="G17" s="3">
        <v>1.6400028148714999E-6</v>
      </c>
      <c r="H17">
        <v>1.0919999999999999E-2</v>
      </c>
      <c r="I17">
        <v>1.1610000000000001E-2</v>
      </c>
      <c r="J17">
        <v>1.1610000000000001E-2</v>
      </c>
      <c r="K17">
        <v>1.9859999999999999E-2</v>
      </c>
    </row>
    <row r="18" spans="1:11" x14ac:dyDescent="0.3">
      <c r="A18" s="1">
        <v>35</v>
      </c>
      <c r="B18" s="7" t="s">
        <v>17</v>
      </c>
      <c r="C18" t="s">
        <v>12</v>
      </c>
      <c r="D18">
        <v>0</v>
      </c>
      <c r="E18">
        <v>1</v>
      </c>
      <c r="F18">
        <v>1.247E-2</v>
      </c>
      <c r="G18">
        <v>0</v>
      </c>
      <c r="H18">
        <v>1.247E-2</v>
      </c>
      <c r="I18">
        <v>1.247E-2</v>
      </c>
      <c r="J18">
        <v>1.247E-2</v>
      </c>
      <c r="K18">
        <v>1.247E-2</v>
      </c>
    </row>
    <row r="19" spans="1:11" x14ac:dyDescent="0.3">
      <c r="A19" s="1">
        <v>35</v>
      </c>
      <c r="B19" s="7" t="s">
        <v>17</v>
      </c>
      <c r="C19" t="s">
        <v>13</v>
      </c>
      <c r="D19">
        <v>14</v>
      </c>
      <c r="E19">
        <v>3</v>
      </c>
      <c r="F19">
        <v>1.2600000000000001E-3</v>
      </c>
      <c r="G19" s="3">
        <v>1.86651572078862E-5</v>
      </c>
      <c r="H19">
        <v>1.171E-2</v>
      </c>
      <c r="I19">
        <v>1.171E-2</v>
      </c>
      <c r="J19">
        <v>1.3180000000000001E-2</v>
      </c>
      <c r="K19">
        <v>1.3180000000000001E-2</v>
      </c>
    </row>
    <row r="20" spans="1:11" x14ac:dyDescent="0.3">
      <c r="A20" s="1">
        <v>35</v>
      </c>
      <c r="B20" s="7" t="s">
        <v>17</v>
      </c>
      <c r="C20" t="s">
        <v>13</v>
      </c>
      <c r="D20">
        <v>22</v>
      </c>
      <c r="E20">
        <v>2</v>
      </c>
      <c r="F20">
        <v>1.4999999999999999E-2</v>
      </c>
      <c r="G20" s="3">
        <v>1.9254480535665401E-7</v>
      </c>
      <c r="H20">
        <v>1.4999999999999999E-2</v>
      </c>
      <c r="I20">
        <v>1.5910000000000001E-2</v>
      </c>
      <c r="J20">
        <v>1.5910000000000001E-2</v>
      </c>
      <c r="K20">
        <v>1.5910000000000001E-2</v>
      </c>
    </row>
    <row r="21" spans="1:11" x14ac:dyDescent="0.3">
      <c r="A21" s="1">
        <v>35</v>
      </c>
      <c r="B21" s="7" t="s">
        <v>17</v>
      </c>
      <c r="C21" t="s">
        <v>13</v>
      </c>
      <c r="D21">
        <v>38</v>
      </c>
      <c r="E21">
        <v>6</v>
      </c>
      <c r="F21">
        <v>1.6230000000000001E-2</v>
      </c>
      <c r="G21" s="3">
        <v>1.76730130527613E-6</v>
      </c>
      <c r="H21">
        <v>1.6230000000000001E-2</v>
      </c>
      <c r="I21">
        <v>1.7760000000000001E-2</v>
      </c>
      <c r="J21">
        <v>1.9730000000000001E-2</v>
      </c>
      <c r="K21">
        <v>1.9949999999999999E-2</v>
      </c>
    </row>
    <row r="22" spans="1:11" x14ac:dyDescent="0.3">
      <c r="A22" s="1">
        <v>35</v>
      </c>
      <c r="B22" s="7" t="s">
        <v>17</v>
      </c>
      <c r="C22" t="s">
        <v>13</v>
      </c>
      <c r="D22">
        <v>46</v>
      </c>
      <c r="E22">
        <v>5</v>
      </c>
      <c r="F22">
        <v>1.256E-2</v>
      </c>
      <c r="G22" s="3">
        <v>3.84842383900592E-6</v>
      </c>
      <c r="H22">
        <v>1.256E-2</v>
      </c>
      <c r="I22">
        <v>1.358E-2</v>
      </c>
      <c r="J22">
        <v>1.6840000000000001E-2</v>
      </c>
      <c r="K22">
        <v>1.6840000000000001E-2</v>
      </c>
    </row>
    <row r="23" spans="1:11" x14ac:dyDescent="0.3">
      <c r="A23" s="1">
        <v>58</v>
      </c>
      <c r="B23" s="8" t="s">
        <v>18</v>
      </c>
      <c r="C23" t="s">
        <v>12</v>
      </c>
      <c r="D23">
        <v>0</v>
      </c>
      <c r="E23">
        <v>5</v>
      </c>
      <c r="F23">
        <v>9.1000000000000004E-3</v>
      </c>
      <c r="G23" s="3">
        <v>6.66280401889704E-6</v>
      </c>
      <c r="H23">
        <v>9.1800000000000007E-3</v>
      </c>
      <c r="I23">
        <v>1.413E-2</v>
      </c>
      <c r="J23">
        <v>1.5559999999999999E-2</v>
      </c>
      <c r="K23">
        <v>1.5559999999999999E-2</v>
      </c>
    </row>
    <row r="24" spans="1:11" x14ac:dyDescent="0.3">
      <c r="A24" s="1">
        <v>58</v>
      </c>
      <c r="B24" t="s">
        <v>18</v>
      </c>
      <c r="C24" t="s">
        <v>13</v>
      </c>
      <c r="D24">
        <v>14</v>
      </c>
      <c r="E24">
        <v>6</v>
      </c>
      <c r="F24">
        <v>1.0869999999999999E-2</v>
      </c>
      <c r="G24" s="3">
        <v>6.3883001624573604E-6</v>
      </c>
      <c r="H24">
        <v>1.218E-2</v>
      </c>
      <c r="I24">
        <v>1.7440000000000001E-2</v>
      </c>
      <c r="J24">
        <v>1.7440000000000001E-2</v>
      </c>
      <c r="K24">
        <v>1.7440000000000001E-2</v>
      </c>
    </row>
    <row r="25" spans="1:11" x14ac:dyDescent="0.3">
      <c r="A25" s="1">
        <v>58</v>
      </c>
      <c r="B25" t="s">
        <v>18</v>
      </c>
      <c r="C25" t="s">
        <v>13</v>
      </c>
      <c r="D25">
        <v>22</v>
      </c>
      <c r="E25">
        <v>8</v>
      </c>
      <c r="F25">
        <v>8.8599999999999998E-3</v>
      </c>
      <c r="G25" s="3">
        <v>7.9592940728107307E-6</v>
      </c>
      <c r="H25">
        <v>1.4749999999999999E-2</v>
      </c>
      <c r="I25">
        <v>1.6449999999999999E-2</v>
      </c>
      <c r="J25">
        <v>1.6449999999999999E-2</v>
      </c>
      <c r="K25">
        <v>1.6449999999999999E-2</v>
      </c>
    </row>
    <row r="26" spans="1:11" x14ac:dyDescent="0.3">
      <c r="A26" s="1">
        <v>58</v>
      </c>
      <c r="B26" t="s">
        <v>18</v>
      </c>
      <c r="C26" t="s">
        <v>13</v>
      </c>
      <c r="D26">
        <v>38</v>
      </c>
      <c r="E26">
        <v>10</v>
      </c>
      <c r="F26">
        <v>1.1820000000000001E-2</v>
      </c>
      <c r="G26" s="3">
        <v>3.37280618300104E-6</v>
      </c>
      <c r="H26">
        <v>1.337E-2</v>
      </c>
      <c r="I26">
        <v>1.358E-2</v>
      </c>
      <c r="J26">
        <v>1.506E-2</v>
      </c>
      <c r="K26">
        <v>1.805E-2</v>
      </c>
    </row>
    <row r="27" spans="1:11" x14ac:dyDescent="0.3">
      <c r="A27" s="1">
        <v>58</v>
      </c>
      <c r="B27" t="s">
        <v>18</v>
      </c>
      <c r="C27" t="s">
        <v>13</v>
      </c>
      <c r="D27">
        <v>46</v>
      </c>
      <c r="E27">
        <v>10</v>
      </c>
      <c r="F27">
        <v>1.159E-2</v>
      </c>
      <c r="G27" s="3">
        <v>5.5596019654539304E-6</v>
      </c>
      <c r="H27">
        <v>1.6199999999999999E-2</v>
      </c>
      <c r="I27">
        <v>1.737E-2</v>
      </c>
      <c r="J27">
        <v>1.9380000000000001E-2</v>
      </c>
      <c r="K27">
        <v>1.9380000000000001E-2</v>
      </c>
    </row>
    <row r="28" spans="1:11" x14ac:dyDescent="0.3">
      <c r="A28" s="1">
        <v>57</v>
      </c>
      <c r="B28" t="s">
        <v>19</v>
      </c>
      <c r="C28" t="s">
        <v>12</v>
      </c>
      <c r="D28">
        <v>0</v>
      </c>
      <c r="E28">
        <v>184</v>
      </c>
      <c r="F28">
        <v>3.1199999999999999E-3</v>
      </c>
      <c r="G28" s="3">
        <v>7.9599215156869601E-7</v>
      </c>
      <c r="H28">
        <v>9.6100000000000005E-3</v>
      </c>
      <c r="I28">
        <v>1.0330000000000001E-2</v>
      </c>
      <c r="J28">
        <v>1.051E-2</v>
      </c>
      <c r="K28">
        <v>1.9609999999999999E-2</v>
      </c>
    </row>
    <row r="29" spans="1:11" x14ac:dyDescent="0.3">
      <c r="A29" s="1">
        <v>57</v>
      </c>
      <c r="B29" t="s">
        <v>19</v>
      </c>
      <c r="C29" t="s">
        <v>13</v>
      </c>
      <c r="D29">
        <v>14</v>
      </c>
      <c r="E29">
        <v>106</v>
      </c>
      <c r="F29">
        <v>4.0400000000000002E-3</v>
      </c>
      <c r="G29" s="3">
        <v>1.10448339891506E-6</v>
      </c>
      <c r="H29">
        <v>1.0019999999999999E-2</v>
      </c>
      <c r="I29">
        <v>1.06E-2</v>
      </c>
      <c r="J29">
        <v>1.0710000000000001E-2</v>
      </c>
      <c r="K29">
        <v>1.7930000000000001E-2</v>
      </c>
    </row>
    <row r="30" spans="1:11" x14ac:dyDescent="0.3">
      <c r="A30" s="1">
        <v>57</v>
      </c>
      <c r="B30" t="s">
        <v>19</v>
      </c>
      <c r="C30" t="s">
        <v>13</v>
      </c>
      <c r="D30">
        <v>22</v>
      </c>
      <c r="E30">
        <v>106</v>
      </c>
      <c r="F30">
        <v>7.1799999999999998E-3</v>
      </c>
      <c r="G30" s="3">
        <v>2.1982528575596001E-6</v>
      </c>
      <c r="H30">
        <v>1.034E-2</v>
      </c>
      <c r="I30">
        <v>1.0880000000000001E-2</v>
      </c>
      <c r="J30">
        <v>1.116E-2</v>
      </c>
      <c r="K30">
        <v>1.932E-2</v>
      </c>
    </row>
    <row r="31" spans="1:11" x14ac:dyDescent="0.3">
      <c r="A31" s="1">
        <v>57</v>
      </c>
      <c r="B31" t="s">
        <v>19</v>
      </c>
      <c r="C31" t="s">
        <v>13</v>
      </c>
      <c r="D31">
        <v>38</v>
      </c>
      <c r="E31">
        <v>139</v>
      </c>
      <c r="F31">
        <v>7.8300000000000002E-3</v>
      </c>
      <c r="G31" s="3">
        <v>1.28432215584379E-6</v>
      </c>
      <c r="H31">
        <v>1.163E-2</v>
      </c>
      <c r="I31">
        <v>1.231E-2</v>
      </c>
      <c r="J31">
        <v>1.26E-2</v>
      </c>
      <c r="K31">
        <v>1.985E-2</v>
      </c>
    </row>
    <row r="32" spans="1:11" x14ac:dyDescent="0.3">
      <c r="A32" s="1">
        <v>57</v>
      </c>
      <c r="B32" t="s">
        <v>19</v>
      </c>
      <c r="C32" t="s">
        <v>13</v>
      </c>
      <c r="D32">
        <v>46</v>
      </c>
      <c r="E32">
        <v>147</v>
      </c>
      <c r="F32">
        <v>5.7200000000000003E-3</v>
      </c>
      <c r="G32" s="3">
        <v>9.12936333005445E-7</v>
      </c>
      <c r="H32">
        <v>1.252E-2</v>
      </c>
      <c r="I32">
        <v>1.3220000000000001E-2</v>
      </c>
      <c r="J32">
        <v>1.363E-2</v>
      </c>
      <c r="K32">
        <v>1.966E-2</v>
      </c>
    </row>
    <row r="33" spans="1:11" x14ac:dyDescent="0.3">
      <c r="A33" s="1" t="s">
        <v>20</v>
      </c>
      <c r="B33" t="s">
        <v>21</v>
      </c>
      <c r="C33" t="s">
        <v>12</v>
      </c>
      <c r="D33">
        <v>0</v>
      </c>
      <c r="E33">
        <v>5</v>
      </c>
      <c r="F33">
        <v>6.2599999999999999E-3</v>
      </c>
      <c r="G33" s="3">
        <v>4.2443511481996402E-8</v>
      </c>
      <c r="H33">
        <v>9.6799999999999994E-3</v>
      </c>
      <c r="I33">
        <v>9.6799999999999994E-3</v>
      </c>
      <c r="J33">
        <v>9.7300000000000008E-3</v>
      </c>
      <c r="K33">
        <v>9.9799999999999993E-3</v>
      </c>
    </row>
    <row r="34" spans="1:11" x14ac:dyDescent="0.3">
      <c r="A34" s="1" t="s">
        <v>20</v>
      </c>
      <c r="B34" t="s">
        <v>21</v>
      </c>
      <c r="C34" t="s">
        <v>13</v>
      </c>
      <c r="D34">
        <v>14</v>
      </c>
      <c r="E34">
        <v>2</v>
      </c>
      <c r="F34">
        <v>1.2120000000000001E-2</v>
      </c>
      <c r="G34" s="3">
        <v>4.17824710890837E-7</v>
      </c>
      <c r="H34">
        <v>1.2120000000000001E-2</v>
      </c>
      <c r="I34">
        <v>1.2120000000000001E-2</v>
      </c>
      <c r="J34">
        <v>1.3429999999999999E-2</v>
      </c>
      <c r="K34">
        <v>1.3429999999999999E-2</v>
      </c>
    </row>
    <row r="35" spans="1:11" x14ac:dyDescent="0.3">
      <c r="A35" s="1" t="s">
        <v>20</v>
      </c>
      <c r="B35" t="s">
        <v>21</v>
      </c>
      <c r="C35" t="s">
        <v>13</v>
      </c>
      <c r="D35">
        <v>22</v>
      </c>
      <c r="E35">
        <v>2</v>
      </c>
      <c r="F35">
        <v>1.2930000000000001E-2</v>
      </c>
      <c r="G35" s="3">
        <v>6.4741357410550697E-8</v>
      </c>
      <c r="H35">
        <v>1.2930000000000001E-2</v>
      </c>
      <c r="I35">
        <v>1.2930000000000001E-2</v>
      </c>
      <c r="J35">
        <v>1.2930000000000001E-2</v>
      </c>
      <c r="K35">
        <v>1.3610000000000001E-2</v>
      </c>
    </row>
    <row r="36" spans="1:11" x14ac:dyDescent="0.3">
      <c r="A36" s="1" t="s">
        <v>20</v>
      </c>
      <c r="B36" t="s">
        <v>21</v>
      </c>
      <c r="C36" t="s">
        <v>13</v>
      </c>
      <c r="D36">
        <v>38</v>
      </c>
      <c r="E36">
        <v>4</v>
      </c>
      <c r="F36">
        <v>9.5300000000000003E-3</v>
      </c>
      <c r="G36" s="3">
        <v>3.9772118076637502E-6</v>
      </c>
      <c r="H36">
        <v>1.5480000000000001E-2</v>
      </c>
      <c r="I36">
        <v>1.6590000000000001E-2</v>
      </c>
      <c r="J36">
        <v>1.6590000000000001E-2</v>
      </c>
      <c r="K36">
        <v>1.6590000000000001E-2</v>
      </c>
    </row>
    <row r="37" spans="1:11" x14ac:dyDescent="0.3">
      <c r="A37" s="1" t="s">
        <v>20</v>
      </c>
      <c r="B37" t="s">
        <v>21</v>
      </c>
      <c r="C37" t="s">
        <v>13</v>
      </c>
      <c r="D37">
        <v>46</v>
      </c>
      <c r="E37">
        <v>7</v>
      </c>
      <c r="F37">
        <v>7.6600000000000001E-3</v>
      </c>
      <c r="G37" s="3">
        <v>2.48095103689238E-6</v>
      </c>
      <c r="H37">
        <v>1.643E-2</v>
      </c>
      <c r="I37">
        <v>1.643E-2</v>
      </c>
      <c r="J37">
        <v>1.643E-2</v>
      </c>
      <c r="K37">
        <v>1.668E-2</v>
      </c>
    </row>
    <row r="38" spans="1:11" x14ac:dyDescent="0.3">
      <c r="A38" s="1" t="s">
        <v>22</v>
      </c>
      <c r="B38" t="s">
        <v>23</v>
      </c>
      <c r="C38" t="s">
        <v>12</v>
      </c>
      <c r="D38">
        <v>0</v>
      </c>
      <c r="E38">
        <v>4</v>
      </c>
      <c r="F38">
        <v>6.1999999999999998E-3</v>
      </c>
      <c r="G38" s="3">
        <v>8.3563114000973196E-7</v>
      </c>
      <c r="H38">
        <v>8.5400000000000007E-3</v>
      </c>
      <c r="I38">
        <v>8.8299999999999993E-3</v>
      </c>
      <c r="J38">
        <v>9.7300000000000008E-3</v>
      </c>
      <c r="K38">
        <v>9.7300000000000008E-3</v>
      </c>
    </row>
    <row r="39" spans="1:11" x14ac:dyDescent="0.3">
      <c r="A39" s="1" t="s">
        <v>22</v>
      </c>
      <c r="B39" t="s">
        <v>23</v>
      </c>
      <c r="C39" t="s">
        <v>13</v>
      </c>
      <c r="D39">
        <v>14</v>
      </c>
      <c r="E39">
        <v>4</v>
      </c>
      <c r="F39">
        <v>1.0330000000000001E-2</v>
      </c>
      <c r="G39" s="3">
        <v>3.3018508716477099E-6</v>
      </c>
      <c r="H39">
        <v>1.4449999999999999E-2</v>
      </c>
      <c r="I39">
        <v>1.6330000000000001E-2</v>
      </c>
      <c r="J39">
        <v>1.6330000000000001E-2</v>
      </c>
      <c r="K39">
        <v>1.8169999999999999E-2</v>
      </c>
    </row>
    <row r="40" spans="1:11" x14ac:dyDescent="0.3">
      <c r="A40" s="1" t="s">
        <v>22</v>
      </c>
      <c r="B40" t="s">
        <v>23</v>
      </c>
      <c r="C40" t="s">
        <v>13</v>
      </c>
      <c r="D40">
        <v>22</v>
      </c>
      <c r="E40">
        <v>5</v>
      </c>
      <c r="F40">
        <v>1.119E-2</v>
      </c>
      <c r="G40" s="3">
        <v>5.8397793495369502E-6</v>
      </c>
      <c r="H40">
        <v>1.2959999999999999E-2</v>
      </c>
      <c r="I40">
        <v>1.405E-2</v>
      </c>
      <c r="J40">
        <v>1.405E-2</v>
      </c>
      <c r="K40">
        <v>1.9869999999999999E-2</v>
      </c>
    </row>
    <row r="41" spans="1:11" x14ac:dyDescent="0.3">
      <c r="A41" s="1" t="s">
        <v>22</v>
      </c>
      <c r="B41" t="s">
        <v>23</v>
      </c>
      <c r="C41" t="s">
        <v>13</v>
      </c>
      <c r="D41">
        <v>38</v>
      </c>
      <c r="E41">
        <v>14</v>
      </c>
      <c r="F41">
        <v>1.2930000000000001E-2</v>
      </c>
      <c r="G41" s="3">
        <v>4.0338101290093902E-6</v>
      </c>
      <c r="H41">
        <v>1.2930000000000001E-2</v>
      </c>
      <c r="I41">
        <v>1.4420000000000001E-2</v>
      </c>
      <c r="J41">
        <v>1.5299999999999999E-2</v>
      </c>
      <c r="K41">
        <v>1.9740000000000001E-2</v>
      </c>
    </row>
    <row r="42" spans="1:11" x14ac:dyDescent="0.3">
      <c r="A42" s="1" t="s">
        <v>22</v>
      </c>
      <c r="B42" t="s">
        <v>23</v>
      </c>
      <c r="C42" t="s">
        <v>13</v>
      </c>
      <c r="D42">
        <v>46</v>
      </c>
      <c r="E42">
        <v>11</v>
      </c>
      <c r="F42">
        <v>1.125E-2</v>
      </c>
      <c r="G42" s="3">
        <v>1.5453102747388201E-6</v>
      </c>
      <c r="H42">
        <v>1.447E-2</v>
      </c>
      <c r="I42">
        <v>1.6080000000000001E-2</v>
      </c>
      <c r="J42">
        <v>1.6080000000000001E-2</v>
      </c>
      <c r="K42">
        <v>1.8450000000000001E-2</v>
      </c>
    </row>
    <row r="43" spans="1:11" x14ac:dyDescent="0.3">
      <c r="A43" s="1" t="s">
        <v>24</v>
      </c>
      <c r="B43" t="s">
        <v>25</v>
      </c>
      <c r="C43" t="s">
        <v>12</v>
      </c>
      <c r="D43">
        <v>0</v>
      </c>
      <c r="E43">
        <v>600</v>
      </c>
      <c r="F43">
        <v>3.1199999999999999E-3</v>
      </c>
      <c r="G43" s="3">
        <v>8.2004467271341999E-7</v>
      </c>
      <c r="H43">
        <v>9.8899999999999995E-3</v>
      </c>
      <c r="I43">
        <v>1.01E-2</v>
      </c>
      <c r="J43">
        <v>1.047E-2</v>
      </c>
      <c r="K43">
        <v>1.9609999999999999E-2</v>
      </c>
    </row>
    <row r="44" spans="1:11" x14ac:dyDescent="0.3">
      <c r="A44" s="1" t="s">
        <v>24</v>
      </c>
      <c r="B44" t="s">
        <v>25</v>
      </c>
      <c r="C44" t="s">
        <v>13</v>
      </c>
      <c r="D44">
        <v>14</v>
      </c>
      <c r="E44">
        <v>381</v>
      </c>
      <c r="F44">
        <v>1.2600000000000001E-3</v>
      </c>
      <c r="G44" s="3">
        <v>1.58030351619467E-6</v>
      </c>
      <c r="H44">
        <v>1.0019999999999999E-2</v>
      </c>
      <c r="I44">
        <v>1.042E-2</v>
      </c>
      <c r="J44">
        <v>1.069E-2</v>
      </c>
      <c r="K44">
        <v>0.02</v>
      </c>
    </row>
    <row r="45" spans="1:11" x14ac:dyDescent="0.3">
      <c r="A45" s="1" t="s">
        <v>24</v>
      </c>
      <c r="B45" t="s">
        <v>25</v>
      </c>
      <c r="C45" t="s">
        <v>13</v>
      </c>
      <c r="D45">
        <v>22</v>
      </c>
      <c r="E45">
        <v>338</v>
      </c>
      <c r="F45">
        <v>4.1799999999999997E-3</v>
      </c>
      <c r="G45" s="3">
        <v>2.7846559147573399E-6</v>
      </c>
      <c r="H45">
        <v>1.026E-2</v>
      </c>
      <c r="I45">
        <v>1.051E-2</v>
      </c>
      <c r="J45">
        <v>1.11E-2</v>
      </c>
      <c r="K45">
        <v>1.9869999999999999E-2</v>
      </c>
    </row>
    <row r="46" spans="1:11" x14ac:dyDescent="0.3">
      <c r="A46" s="1" t="s">
        <v>24</v>
      </c>
      <c r="B46" t="s">
        <v>25</v>
      </c>
      <c r="C46" t="s">
        <v>13</v>
      </c>
      <c r="D46">
        <v>38</v>
      </c>
      <c r="E46">
        <v>358</v>
      </c>
      <c r="F46">
        <v>4.2700000000000004E-3</v>
      </c>
      <c r="G46" s="3">
        <v>4.0871136570518902E-6</v>
      </c>
      <c r="H46">
        <v>1.03E-2</v>
      </c>
      <c r="I46">
        <v>1.1679999999999999E-2</v>
      </c>
      <c r="J46">
        <v>1.26E-2</v>
      </c>
      <c r="K46">
        <v>1.9949999999999999E-2</v>
      </c>
    </row>
    <row r="47" spans="1:11" x14ac:dyDescent="0.3">
      <c r="A47" s="1" t="s">
        <v>24</v>
      </c>
      <c r="B47" t="s">
        <v>25</v>
      </c>
      <c r="C47" t="s">
        <v>13</v>
      </c>
      <c r="D47">
        <v>46</v>
      </c>
      <c r="E47">
        <v>353</v>
      </c>
      <c r="F47">
        <v>4.1000000000000003E-3</v>
      </c>
      <c r="G47" s="3">
        <v>3.8777513055069503E-6</v>
      </c>
      <c r="H47">
        <v>1.0919999999999999E-2</v>
      </c>
      <c r="I47">
        <v>1.2630000000000001E-2</v>
      </c>
      <c r="J47">
        <v>1.363E-2</v>
      </c>
      <c r="K47">
        <v>1.9859999999999999E-2</v>
      </c>
    </row>
    <row r="49" spans="2:4" x14ac:dyDescent="0.3">
      <c r="B49" t="s">
        <v>26</v>
      </c>
      <c r="C49" s="4">
        <f>(I46-I45)/16</f>
        <v>7.3124999999999948E-5</v>
      </c>
      <c r="D49" t="s">
        <v>27</v>
      </c>
    </row>
    <row r="50" spans="2:4" x14ac:dyDescent="0.3">
      <c r="B50" t="s">
        <v>28</v>
      </c>
      <c r="C50" s="5">
        <f>(I47-I46)/8</f>
        <v>1.1875000000000015E-4</v>
      </c>
      <c r="D50" t="s">
        <v>27</v>
      </c>
    </row>
    <row r="51" spans="2:4" x14ac:dyDescent="0.3">
      <c r="B51" t="s">
        <v>29</v>
      </c>
      <c r="C51" s="4">
        <f>C49</f>
        <v>7.3124999999999948E-5</v>
      </c>
      <c r="D51" t="s">
        <v>27</v>
      </c>
    </row>
    <row r="52" spans="2:4" x14ac:dyDescent="0.3">
      <c r="B52" t="s">
        <v>30</v>
      </c>
      <c r="C52" s="4">
        <f>C50-C51</f>
        <v>4.5625000000000201E-5</v>
      </c>
      <c r="D52" t="s">
        <v>27</v>
      </c>
    </row>
    <row r="53" spans="2:4" x14ac:dyDescent="0.3">
      <c r="B53" t="s">
        <v>31</v>
      </c>
      <c r="C53">
        <f>(C50-C51)*8/(C50*8+C51*16)*100</f>
        <v>17.216981132075546</v>
      </c>
      <c r="D53" t="s">
        <v>32</v>
      </c>
    </row>
    <row r="70" spans="13:13" x14ac:dyDescent="0.3">
      <c r="M70">
        <v>38</v>
      </c>
    </row>
  </sheetData>
  <pageMargins left="0.7" right="0.7" top="0.75" bottom="0.75" header="0.51180555555555496" footer="0.51180555555555496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Calisp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alysekh</dc:creator>
  <dc:description/>
  <cp:lastModifiedBy>Maryam</cp:lastModifiedBy>
  <cp:revision>1</cp:revision>
  <dcterms:created xsi:type="dcterms:W3CDTF">2021-09-01T19:43:47Z</dcterms:created>
  <dcterms:modified xsi:type="dcterms:W3CDTF">2021-11-04T23:55:02Z</dcterms:modified>
  <dc:language>en-US</dc:language>
</cp:coreProperties>
</file>